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1.Ingreso y Elasticidad" sheetId="2" state="visible" r:id="rId2"/>
    <sheet xmlns:r="http://schemas.openxmlformats.org/officeDocument/2006/relationships" name="2.Produccion CP" sheetId="3" state="visible" r:id="rId3"/>
    <sheet xmlns:r="http://schemas.openxmlformats.org/officeDocument/2006/relationships" name="3.Costos" sheetId="4" state="visible" r:id="rId4"/>
    <sheet xmlns:r="http://schemas.openxmlformats.org/officeDocument/2006/relationships" name="4.Costo economico y EP" sheetId="5" state="visible" r:id="rId5"/>
    <sheet xmlns:r="http://schemas.openxmlformats.org/officeDocument/2006/relationships" name="5.EJERCI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15">
    <font>
      <name val="Calibri"/>
      <family val="2"/>
      <color theme="1"/>
      <sz val="11"/>
      <scheme val="minor"/>
    </font>
    <font>
      <b val="1"/>
      <color rgb="FF3A2F1E"/>
      <sz val="16"/>
    </font>
    <font>
      <b val="1"/>
      <color rgb="FF9A6A2F"/>
      <sz val="12"/>
    </font>
    <font>
      <color rgb="FF3A2F1E"/>
      <sz val="11"/>
    </font>
    <font>
      <i val="1"/>
      <color rgb="FF7D6F56"/>
      <sz val="9"/>
    </font>
    <font>
      <name val="Calibri"/>
      <b val="1"/>
      <color rgb="FF3A2F1E"/>
      <sz val="15"/>
    </font>
    <font>
      <name val="Calibri"/>
      <i val="1"/>
      <color rgb="FF7D6F56"/>
      <sz val="10"/>
    </font>
    <font>
      <name val="Calibri"/>
      <b val="1"/>
      <color rgb="FFFFFFFF"/>
      <sz val="11"/>
    </font>
    <font>
      <name val="Calibri"/>
      <b val="1"/>
      <color rgb="FF3A2F1E"/>
    </font>
    <font>
      <name val="Calibri"/>
      <color rgb="FF3A2F1E"/>
    </font>
    <font>
      <i val="1"/>
      <color rgb="FF3A2F1E"/>
      <sz val="10"/>
    </font>
    <font>
      <name val="Consolas"/>
      <color rgb="FF2F5D8A"/>
      <sz val="10"/>
    </font>
    <font>
      <b val="1"/>
      <color rgb="FF3A2F1E"/>
    </font>
    <font>
      <b val="1"/>
      <color rgb="FF3A2F1E"/>
      <sz val="12"/>
    </font>
    <font>
      <b val="1"/>
      <color rgb="FF9A6A2F"/>
    </font>
  </fonts>
  <fills count="6">
    <fill>
      <patternFill/>
    </fill>
    <fill>
      <patternFill patternType="gray125"/>
    </fill>
    <fill>
      <patternFill patternType="solid">
        <fgColor rgb="FF9A6A2F"/>
      </patternFill>
    </fill>
    <fill>
      <patternFill patternType="solid">
        <fgColor rgb="FFF6EAD0"/>
      </patternFill>
    </fill>
    <fill>
      <patternFill patternType="solid">
        <fgColor rgb="FFDCEADB"/>
      </patternFill>
    </fill>
    <fill>
      <patternFill patternType="solid">
        <fgColor rgb="FFDDE6F0"/>
      </patternFill>
    </fill>
  </fills>
  <borders count="2">
    <border>
      <left/>
      <right/>
      <top/>
      <bottom/>
      <diagonal/>
    </border>
    <border>
      <left style="thin">
        <color rgb="FFCDB98F"/>
      </left>
      <right style="thin">
        <color rgb="FFCDB98F"/>
      </right>
      <top style="thin">
        <color rgb="FFCDB98F"/>
      </top>
      <bottom style="thin">
        <color rgb="FFCDB98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2" fontId="8" fillId="3" borderId="1" applyAlignment="1" pivotButton="0" quotePrefix="0" xfId="0">
      <alignment horizontal="center" vertical="center" wrapText="1"/>
    </xf>
    <xf numFmtId="1" fontId="8" fillId="3" borderId="1" applyAlignment="1" pivotButton="0" quotePrefix="0" xfId="0">
      <alignment horizontal="center" vertical="center" wrapText="1"/>
    </xf>
    <xf numFmtId="2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4" borderId="1" applyAlignment="1" pivotButton="0" quotePrefix="0" xfId="0">
      <alignment horizontal="center" vertical="center" wrapText="1"/>
    </xf>
    <xf numFmtId="165" fontId="9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1" fontId="9" fillId="0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right"/>
    </xf>
    <xf numFmtId="1" fontId="8" fillId="5" borderId="1" applyAlignment="1" pivotButton="0" quotePrefix="0" xfId="0">
      <alignment horizontal="center" vertical="center" wrapText="1"/>
    </xf>
    <xf numFmtId="0" fontId="12" fillId="0" borderId="0" pivotButton="0" quotePrefix="0" xfId="0"/>
    <xf numFmtId="2" fontId="8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3" fontId="8" fillId="3" borderId="1" applyAlignment="1" pivotButton="0" quotePrefix="0" xfId="0">
      <alignment horizontal="center" vertical="center" wrapText="1"/>
    </xf>
    <xf numFmtId="3" fontId="8" fillId="4" borderId="1" applyAlignment="1" pivotButton="0" quotePrefix="0" xfId="0">
      <alignment horizontal="center" vertical="center" wrapText="1"/>
    </xf>
    <xf numFmtId="0" fontId="13" fillId="0" borderId="0" pivotButton="0" quotePrefix="0" xfId="0"/>
    <xf numFmtId="2" fontId="8" fillId="4" borderId="1" applyAlignment="1" pivotButton="0" quotePrefix="0" xfId="0">
      <alignment horizontal="center" vertical="center" wrapText="1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>
      <c r="B2" s="1" t="inlineStr">
        <is>
          <t>ECONOMÍA I · UCES — Práctica del 2do Parcial en Excel</t>
        </is>
      </c>
    </row>
    <row r="4">
      <c r="B4" s="2" t="inlineStr">
        <is>
          <t>Cómo usar este archivo</t>
        </is>
      </c>
    </row>
    <row r="6">
      <c r="B6" s="3" t="inlineStr">
        <is>
          <t>Las celdas con FONDO AMARILLO son DATOS: cambialos y mirá cómo se recalcula todo solo.</t>
        </is>
      </c>
    </row>
    <row r="7">
      <c r="B7" s="3" t="inlineStr">
        <is>
          <t>Las celdas con FONDO VERDE tienen FÓRMULAS ya armadas (=A2*B2, etc.). No las borres: estudialas.</t>
        </is>
      </c>
    </row>
    <row r="8">
      <c r="B8" s="3" t="inlineStr">
        <is>
          <t>Cada hoja es un tema del parcial. Abajo, en las pestañas, las vas a ver numeradas.</t>
        </is>
      </c>
    </row>
    <row r="9">
      <c r="B9" s="3" t="inlineStr">
        <is>
          <t>Hoja 1 · Ingreso total y elasticidad-precio de la demanda.</t>
        </is>
      </c>
    </row>
    <row r="10">
      <c r="B10" s="3" t="inlineStr">
        <is>
          <t>Hoja 2 · Producción en el corto plazo: producto marginal (PMg) y medio (PMe).</t>
        </is>
      </c>
    </row>
    <row r="11">
      <c r="B11" s="3" t="inlineStr">
        <is>
          <t>Hoja 3 · Familia de costos (CT, CF, CV, CFMe, CVMe, CMe, CMg) + nivel que minimiza el costo.</t>
        </is>
      </c>
    </row>
    <row r="12">
      <c r="B12" s="3" t="inlineStr">
        <is>
          <t>Hoja 4 · Costo contable, de oportunidad y económico + excedente del productor.</t>
        </is>
      </c>
    </row>
    <row r="13">
      <c r="B13" s="3" t="inlineStr">
        <is>
          <t>Hoja 5 · EJERCICIOS en blanco para que los resuelvas vos (las soluciones están en la página web).</t>
        </is>
      </c>
    </row>
    <row r="14">
      <c r="B14" s="3" t="inlineStr"/>
    </row>
    <row r="15">
      <c r="B15" s="3" t="inlineStr">
        <is>
          <t>Tip: tocá una celda verde y mirá arriba, en la barra de fórmulas, QUÉ fórmula tiene. Esa es la que</t>
        </is>
      </c>
    </row>
    <row r="16">
      <c r="B16" s="3" t="inlineStr">
        <is>
          <t>tenés que saber escribir en el parcial si te piden hacerlo en Excel o a mano.</t>
        </is>
      </c>
    </row>
    <row r="18">
      <c r="B18" s="4" t="inlineStr">
        <is>
          <t>Hecho desde los apuntes de cátedra · UCES · Fundamentos de Economía I ·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  <col width="20" customWidth="1" min="7" max="7"/>
  </cols>
  <sheetData>
    <row r="1">
      <c r="A1" s="5" t="inlineStr">
        <is>
          <t>Ingreso total (IT = P · Q) y elasticidad-precio de la demanda</t>
        </is>
      </c>
    </row>
    <row r="2">
      <c r="A2" s="6" t="inlineStr">
        <is>
          <t>Cambiá Precio y Cantidad (amarillo). IT, variaciones y elasticidad se calculan solos (verde).</t>
        </is>
      </c>
    </row>
    <row r="4">
      <c r="A4" s="7" t="inlineStr">
        <is>
          <t>Precio (P)</t>
        </is>
      </c>
      <c r="B4" s="7" t="inlineStr">
        <is>
          <t>Cantidad (Q)</t>
        </is>
      </c>
      <c r="C4" s="7" t="inlineStr">
        <is>
          <t>IT = P·Q</t>
        </is>
      </c>
      <c r="D4" s="7" t="inlineStr">
        <is>
          <t>Δ% Precio</t>
        </is>
      </c>
      <c r="E4" s="7" t="inlineStr">
        <is>
          <t>Δ% Cantidad</t>
        </is>
      </c>
      <c r="F4" s="7" t="inlineStr">
        <is>
          <t>Elasticidad |Ep|</t>
        </is>
      </c>
      <c r="G4" s="7" t="inlineStr">
        <is>
          <t>Tipo de demanda</t>
        </is>
      </c>
    </row>
    <row r="5">
      <c r="A5" s="8" t="n">
        <v>10</v>
      </c>
      <c r="B5" s="9" t="n">
        <v>0</v>
      </c>
      <c r="C5" s="10">
        <f>A5*B5</f>
        <v/>
      </c>
      <c r="D5" s="11" t="inlineStr">
        <is>
          <t>—</t>
        </is>
      </c>
      <c r="E5" s="11" t="inlineStr">
        <is>
          <t>—</t>
        </is>
      </c>
      <c r="F5" s="11" t="inlineStr">
        <is>
          <t>—</t>
        </is>
      </c>
      <c r="G5" s="11" t="inlineStr">
        <is>
          <t>—</t>
        </is>
      </c>
    </row>
    <row r="6">
      <c r="A6" s="8" t="n">
        <v>9</v>
      </c>
      <c r="B6" s="9" t="n">
        <v>10</v>
      </c>
      <c r="C6" s="10">
        <f>A6*B6</f>
        <v/>
      </c>
      <c r="D6" s="12">
        <f>(A6-A5)/((A6+A5)/2)</f>
        <v/>
      </c>
      <c r="E6" s="12">
        <f>(B6-B5)/((B6+B5)/2)</f>
        <v/>
      </c>
      <c r="F6" s="13">
        <f>IFERROR(ABS(E6/D6),"-")</f>
        <v/>
      </c>
      <c r="G6" s="14">
        <f>IFERROR(IF(F6&gt;1,"Elastica",IF(F6&lt;1,"Inelastica","Unitaria")),"-")</f>
        <v/>
      </c>
    </row>
    <row r="7">
      <c r="A7" s="8" t="n">
        <v>8</v>
      </c>
      <c r="B7" s="9" t="n">
        <v>20</v>
      </c>
      <c r="C7" s="10">
        <f>A7*B7</f>
        <v/>
      </c>
      <c r="D7" s="12">
        <f>(A7-A6)/((A7+A6)/2)</f>
        <v/>
      </c>
      <c r="E7" s="12">
        <f>(B7-B6)/((B7+B6)/2)</f>
        <v/>
      </c>
      <c r="F7" s="13">
        <f>IFERROR(ABS(E7/D7),"-")</f>
        <v/>
      </c>
      <c r="G7" s="14">
        <f>IFERROR(IF(F7&gt;1,"Elastica",IF(F7&lt;1,"Inelastica","Unitaria")),"-")</f>
        <v/>
      </c>
    </row>
    <row r="8">
      <c r="A8" s="8" t="n">
        <v>7</v>
      </c>
      <c r="B8" s="9" t="n">
        <v>30</v>
      </c>
      <c r="C8" s="10">
        <f>A8*B8</f>
        <v/>
      </c>
      <c r="D8" s="12">
        <f>(A8-A7)/((A8+A7)/2)</f>
        <v/>
      </c>
      <c r="E8" s="12">
        <f>(B8-B7)/((B8+B7)/2)</f>
        <v/>
      </c>
      <c r="F8" s="13">
        <f>IFERROR(ABS(E8/D8),"-")</f>
        <v/>
      </c>
      <c r="G8" s="14">
        <f>IFERROR(IF(F8&gt;1,"Elastica",IF(F8&lt;1,"Inelastica","Unitaria")),"-")</f>
        <v/>
      </c>
    </row>
    <row r="9">
      <c r="A9" s="8" t="n">
        <v>6</v>
      </c>
      <c r="B9" s="9" t="n">
        <v>40</v>
      </c>
      <c r="C9" s="10">
        <f>A9*B9</f>
        <v/>
      </c>
      <c r="D9" s="12">
        <f>(A9-A8)/((A9+A8)/2)</f>
        <v/>
      </c>
      <c r="E9" s="12">
        <f>(B9-B8)/((B9+B8)/2)</f>
        <v/>
      </c>
      <c r="F9" s="13">
        <f>IFERROR(ABS(E9/D9),"-")</f>
        <v/>
      </c>
      <c r="G9" s="14">
        <f>IFERROR(IF(F9&gt;1,"Elastica",IF(F9&lt;1,"Inelastica","Unitaria")),"-")</f>
        <v/>
      </c>
    </row>
    <row r="10">
      <c r="A10" s="8" t="n">
        <v>5</v>
      </c>
      <c r="B10" s="9" t="n">
        <v>50</v>
      </c>
      <c r="C10" s="10">
        <f>A10*B10</f>
        <v/>
      </c>
      <c r="D10" s="12">
        <f>(A10-A9)/((A10+A9)/2)</f>
        <v/>
      </c>
      <c r="E10" s="12">
        <f>(B10-B9)/((B10+B9)/2)</f>
        <v/>
      </c>
      <c r="F10" s="13">
        <f>IFERROR(ABS(E10/D10),"-")</f>
        <v/>
      </c>
      <c r="G10" s="14">
        <f>IFERROR(IF(F10&gt;1,"Elastica",IF(F10&lt;1,"Inelastica","Unitaria")),"-")</f>
        <v/>
      </c>
    </row>
    <row r="11">
      <c r="A11" s="8" t="n">
        <v>4</v>
      </c>
      <c r="B11" s="9" t="n">
        <v>60</v>
      </c>
      <c r="C11" s="10">
        <f>A11*B11</f>
        <v/>
      </c>
      <c r="D11" s="12">
        <f>(A11-A10)/((A11+A10)/2)</f>
        <v/>
      </c>
      <c r="E11" s="12">
        <f>(B11-B10)/((B11+B10)/2)</f>
        <v/>
      </c>
      <c r="F11" s="13">
        <f>IFERROR(ABS(E11/D11),"-")</f>
        <v/>
      </c>
      <c r="G11" s="14">
        <f>IFERROR(IF(F11&gt;1,"Elastica",IF(F11&lt;1,"Inelastica","Unitaria")),"-")</f>
        <v/>
      </c>
    </row>
    <row r="12">
      <c r="A12" s="8" t="n">
        <v>3</v>
      </c>
      <c r="B12" s="9" t="n">
        <v>70</v>
      </c>
      <c r="C12" s="10">
        <f>A12*B12</f>
        <v/>
      </c>
      <c r="D12" s="12">
        <f>(A12-A11)/((A12+A11)/2)</f>
        <v/>
      </c>
      <c r="E12" s="12">
        <f>(B12-B11)/((B12+B11)/2)</f>
        <v/>
      </c>
      <c r="F12" s="13">
        <f>IFERROR(ABS(E12/D12),"-")</f>
        <v/>
      </c>
      <c r="G12" s="14">
        <f>IFERROR(IF(F12&gt;1,"Elastica",IF(F12&lt;1,"Inelastica","Unitaria")),"-")</f>
        <v/>
      </c>
    </row>
    <row r="13">
      <c r="A13" s="8" t="n">
        <v>2</v>
      </c>
      <c r="B13" s="9" t="n">
        <v>80</v>
      </c>
      <c r="C13" s="10">
        <f>A13*B13</f>
        <v/>
      </c>
      <c r="D13" s="12">
        <f>(A13-A12)/((A13+A12)/2)</f>
        <v/>
      </c>
      <c r="E13" s="12">
        <f>(B13-B12)/((B13+B12)/2)</f>
        <v/>
      </c>
      <c r="F13" s="13">
        <f>IFERROR(ABS(E13/D13),"-")</f>
        <v/>
      </c>
      <c r="G13" s="14">
        <f>IFERROR(IF(F13&gt;1,"Elastica",IF(F13&lt;1,"Inelastica","Unitaria")),"-")</f>
        <v/>
      </c>
    </row>
    <row r="15">
      <c r="A15" s="15" t="inlineStr">
        <is>
          <t>Regla clave: si la demanda es ELÁSTICA (|Ep|&gt;1) y bajás el precio, el IT SUBE. Si es INELÁSTICA (|Ep|&lt;1), bajar el precio BAJA el IT. En la UNITARIA (|Ep|=1) el IT es máximo.</t>
        </is>
      </c>
    </row>
    <row r="16">
      <c r="A16" s="16" t="inlineStr">
        <is>
          <t>Fórmula del IT en C5:  =A5*B5    ·   Elasticidad-arco en F6:  =ABS(Δ%Q / Δ%P)</t>
        </is>
      </c>
    </row>
  </sheetData>
  <mergeCells count="1">
    <mergeCell ref="A15:G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2" customWidth="1" min="3" max="3"/>
    <col width="22" customWidth="1" min="4" max="4"/>
  </cols>
  <sheetData>
    <row r="1">
      <c r="A1" s="5" t="inlineStr">
        <is>
          <t>Producción en el corto plazo: producto total, marginal (PMg) y medio (PMe)</t>
        </is>
      </c>
    </row>
    <row r="2">
      <c r="A2" s="6" t="inlineStr">
        <is>
          <t>Cambiá el Producto Total (amarillo). PMg y PMe se calculan solos (verde). L = trabajadores.</t>
        </is>
      </c>
    </row>
    <row r="4">
      <c r="A4" s="7" t="inlineStr">
        <is>
          <t>Trabajo L</t>
        </is>
      </c>
      <c r="B4" s="7" t="inlineStr">
        <is>
          <t>Producto Total (PT)</t>
        </is>
      </c>
      <c r="C4" s="7" t="inlineStr">
        <is>
          <t>Producto Marginal PMg = ΔPT/ΔL</t>
        </is>
      </c>
      <c r="D4" s="7" t="inlineStr">
        <is>
          <t>Producto Medio PMe = PT/L</t>
        </is>
      </c>
    </row>
    <row r="5">
      <c r="A5" s="17" t="n">
        <v>0</v>
      </c>
      <c r="B5" s="9" t="n">
        <v>0</v>
      </c>
      <c r="C5" s="11" t="inlineStr">
        <is>
          <t>—</t>
        </is>
      </c>
      <c r="D5" s="11" t="inlineStr">
        <is>
          <t>—</t>
        </is>
      </c>
    </row>
    <row r="6">
      <c r="A6" s="17" t="n">
        <v>1</v>
      </c>
      <c r="B6" s="9" t="n">
        <v>10</v>
      </c>
      <c r="C6" s="10">
        <f>B6-B5</f>
        <v/>
      </c>
      <c r="D6" s="10">
        <f>B6/A6</f>
        <v/>
      </c>
    </row>
    <row r="7">
      <c r="A7" s="17" t="n">
        <v>2</v>
      </c>
      <c r="B7" s="9" t="n">
        <v>24</v>
      </c>
      <c r="C7" s="10">
        <f>B7-B6</f>
        <v/>
      </c>
      <c r="D7" s="10">
        <f>B7/A7</f>
        <v/>
      </c>
    </row>
    <row r="8">
      <c r="A8" s="17" t="n">
        <v>3</v>
      </c>
      <c r="B8" s="9" t="n">
        <v>39</v>
      </c>
      <c r="C8" s="10">
        <f>B8-B7</f>
        <v/>
      </c>
      <c r="D8" s="10">
        <f>B8/A8</f>
        <v/>
      </c>
    </row>
    <row r="9">
      <c r="A9" s="17" t="n">
        <v>4</v>
      </c>
      <c r="B9" s="9" t="n">
        <v>52</v>
      </c>
      <c r="C9" s="10">
        <f>B9-B8</f>
        <v/>
      </c>
      <c r="D9" s="10">
        <f>B9/A9</f>
        <v/>
      </c>
    </row>
    <row r="10">
      <c r="A10" s="17" t="n">
        <v>5</v>
      </c>
      <c r="B10" s="9" t="n">
        <v>60</v>
      </c>
      <c r="C10" s="10">
        <f>B10-B9</f>
        <v/>
      </c>
      <c r="D10" s="10">
        <f>B10/A10</f>
        <v/>
      </c>
    </row>
    <row r="11">
      <c r="A11" s="17" t="n">
        <v>6</v>
      </c>
      <c r="B11" s="9" t="n">
        <v>66</v>
      </c>
      <c r="C11" s="10">
        <f>B11-B10</f>
        <v/>
      </c>
      <c r="D11" s="10">
        <f>B11/A11</f>
        <v/>
      </c>
    </row>
    <row r="12">
      <c r="A12" s="17" t="n">
        <v>7</v>
      </c>
      <c r="B12" s="9" t="n">
        <v>70</v>
      </c>
      <c r="C12" s="10">
        <f>B12-B11</f>
        <v/>
      </c>
      <c r="D12" s="10">
        <f>B12/A12</f>
        <v/>
      </c>
    </row>
    <row r="13">
      <c r="A13" s="17" t="n">
        <v>8</v>
      </c>
      <c r="B13" s="9" t="n">
        <v>70</v>
      </c>
      <c r="C13" s="10">
        <f>B13-B12</f>
        <v/>
      </c>
      <c r="D13" s="10">
        <f>B13/A13</f>
        <v/>
      </c>
    </row>
    <row r="14">
      <c r="A14" s="17" t="n">
        <v>9</v>
      </c>
      <c r="B14" s="9" t="n">
        <v>63</v>
      </c>
      <c r="C14" s="10">
        <f>B14-B13</f>
        <v/>
      </c>
      <c r="D14" s="10">
        <f>B14/A14</f>
        <v/>
      </c>
    </row>
    <row r="16">
      <c r="A16" s="15" t="inlineStr">
        <is>
          <t>PMg = lo que aporta el último trabajador (ΔPT/ΔL).  PMe = productividad por trabajador (PT/L). Mientras PMg &gt; PMe, el PMe sube; cuando PMg &lt; PMe, el PMe baja. Se cruzan en el máximo del PMe.</t>
        </is>
      </c>
    </row>
    <row r="17">
      <c r="A17" s="16" t="inlineStr">
        <is>
          <t>PMg en C6:  =B6-B5     ·     PMe en D6:  =B6/A6</t>
        </is>
      </c>
    </row>
  </sheetData>
  <mergeCells count="1">
    <mergeCell ref="A16:D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5" t="inlineStr">
        <is>
          <t>Familia de costos de corto plazo + nivel de producción que MINIMIZA el costo medio</t>
        </is>
      </c>
    </row>
    <row r="2">
      <c r="A2" s="6" t="inlineStr">
        <is>
          <t>Cambiá CF (una sola celda) y la columna CV (amarillo). El resto se calcula solo (verde).</t>
        </is>
      </c>
    </row>
    <row r="3">
      <c r="A3" s="18" t="inlineStr">
        <is>
          <t>Costo Fijo (CF) =</t>
        </is>
      </c>
      <c r="B3" s="8" t="n">
        <v>60</v>
      </c>
    </row>
    <row r="5">
      <c r="A5" s="7" t="inlineStr">
        <is>
          <t>q</t>
        </is>
      </c>
      <c r="B5" s="7" t="inlineStr">
        <is>
          <t>CF</t>
        </is>
      </c>
      <c r="C5" s="7" t="inlineStr">
        <is>
          <t>CV</t>
        </is>
      </c>
      <c r="D5" s="7" t="inlineStr">
        <is>
          <t>CT = CF+CV</t>
        </is>
      </c>
      <c r="E5" s="7" t="inlineStr">
        <is>
          <t>CFMe = CF/q</t>
        </is>
      </c>
      <c r="F5" s="7" t="inlineStr">
        <is>
          <t>CVMe = CV/q</t>
        </is>
      </c>
      <c r="G5" s="7" t="inlineStr">
        <is>
          <t>CMe = CT/q</t>
        </is>
      </c>
      <c r="H5" s="7" t="inlineStr">
        <is>
          <t>CMg = ΔCT/Δq</t>
        </is>
      </c>
    </row>
    <row r="6">
      <c r="A6" s="17" t="n">
        <v>0</v>
      </c>
      <c r="B6" s="10">
        <f>$B$3</f>
        <v/>
      </c>
      <c r="C6" s="8" t="n">
        <v>0</v>
      </c>
      <c r="D6" s="10">
        <f>B6+C6</f>
        <v/>
      </c>
      <c r="E6" s="11" t="inlineStr">
        <is>
          <t>—</t>
        </is>
      </c>
      <c r="F6" s="11" t="inlineStr">
        <is>
          <t>—</t>
        </is>
      </c>
      <c r="G6" s="11" t="inlineStr">
        <is>
          <t>—</t>
        </is>
      </c>
      <c r="H6" s="11" t="inlineStr">
        <is>
          <t>—</t>
        </is>
      </c>
    </row>
    <row r="7">
      <c r="A7" s="17" t="n">
        <v>1</v>
      </c>
      <c r="B7" s="10">
        <f>$B$3</f>
        <v/>
      </c>
      <c r="C7" s="8" t="n">
        <v>30</v>
      </c>
      <c r="D7" s="10">
        <f>B7+C7</f>
        <v/>
      </c>
      <c r="E7" s="10">
        <f>B7/A7</f>
        <v/>
      </c>
      <c r="F7" s="10">
        <f>C7/A7</f>
        <v/>
      </c>
      <c r="G7" s="10">
        <f>D7/A7</f>
        <v/>
      </c>
      <c r="H7" s="10">
        <f>D7-D6</f>
        <v/>
      </c>
    </row>
    <row r="8">
      <c r="A8" s="17" t="n">
        <v>2</v>
      </c>
      <c r="B8" s="10">
        <f>$B$3</f>
        <v/>
      </c>
      <c r="C8" s="8" t="n">
        <v>50</v>
      </c>
      <c r="D8" s="10">
        <f>B8+C8</f>
        <v/>
      </c>
      <c r="E8" s="10">
        <f>B8/A8</f>
        <v/>
      </c>
      <c r="F8" s="10">
        <f>C8/A8</f>
        <v/>
      </c>
      <c r="G8" s="10">
        <f>D8/A8</f>
        <v/>
      </c>
      <c r="H8" s="10">
        <f>D8-D7</f>
        <v/>
      </c>
    </row>
    <row r="9">
      <c r="A9" s="17" t="n">
        <v>3</v>
      </c>
      <c r="B9" s="10">
        <f>$B$3</f>
        <v/>
      </c>
      <c r="C9" s="8" t="n">
        <v>62</v>
      </c>
      <c r="D9" s="10">
        <f>B9+C9</f>
        <v/>
      </c>
      <c r="E9" s="10">
        <f>B9/A9</f>
        <v/>
      </c>
      <c r="F9" s="10">
        <f>C9/A9</f>
        <v/>
      </c>
      <c r="G9" s="10">
        <f>D9/A9</f>
        <v/>
      </c>
      <c r="H9" s="10">
        <f>D9-D8</f>
        <v/>
      </c>
    </row>
    <row r="10">
      <c r="A10" s="17" t="n">
        <v>4</v>
      </c>
      <c r="B10" s="10">
        <f>$B$3</f>
        <v/>
      </c>
      <c r="C10" s="8" t="n">
        <v>72</v>
      </c>
      <c r="D10" s="10">
        <f>B10+C10</f>
        <v/>
      </c>
      <c r="E10" s="10">
        <f>B10/A10</f>
        <v/>
      </c>
      <c r="F10" s="10">
        <f>C10/A10</f>
        <v/>
      </c>
      <c r="G10" s="10">
        <f>D10/A10</f>
        <v/>
      </c>
      <c r="H10" s="10">
        <f>D10-D9</f>
        <v/>
      </c>
    </row>
    <row r="11">
      <c r="A11" s="17" t="n">
        <v>5</v>
      </c>
      <c r="B11" s="10">
        <f>$B$3</f>
        <v/>
      </c>
      <c r="C11" s="8" t="n">
        <v>85</v>
      </c>
      <c r="D11" s="10">
        <f>B11+C11</f>
        <v/>
      </c>
      <c r="E11" s="10">
        <f>B11/A11</f>
        <v/>
      </c>
      <c r="F11" s="10">
        <f>C11/A11</f>
        <v/>
      </c>
      <c r="G11" s="10">
        <f>D11/A11</f>
        <v/>
      </c>
      <c r="H11" s="10">
        <f>D11-D10</f>
        <v/>
      </c>
    </row>
    <row r="12">
      <c r="A12" s="17" t="n">
        <v>6</v>
      </c>
      <c r="B12" s="10">
        <f>$B$3</f>
        <v/>
      </c>
      <c r="C12" s="8" t="n">
        <v>105</v>
      </c>
      <c r="D12" s="10">
        <f>B12+C12</f>
        <v/>
      </c>
      <c r="E12" s="10">
        <f>B12/A12</f>
        <v/>
      </c>
      <c r="F12" s="10">
        <f>C12/A12</f>
        <v/>
      </c>
      <c r="G12" s="10">
        <f>D12/A12</f>
        <v/>
      </c>
      <c r="H12" s="10">
        <f>D12-D11</f>
        <v/>
      </c>
    </row>
    <row r="13">
      <c r="A13" s="17" t="n">
        <v>7</v>
      </c>
      <c r="B13" s="10">
        <f>$B$3</f>
        <v/>
      </c>
      <c r="C13" s="8" t="n">
        <v>140</v>
      </c>
      <c r="D13" s="10">
        <f>B13+C13</f>
        <v/>
      </c>
      <c r="E13" s="10">
        <f>B13/A13</f>
        <v/>
      </c>
      <c r="F13" s="10">
        <f>C13/A13</f>
        <v/>
      </c>
      <c r="G13" s="10">
        <f>D13/A13</f>
        <v/>
      </c>
      <c r="H13" s="10">
        <f>D13-D12</f>
        <v/>
      </c>
    </row>
    <row r="14">
      <c r="A14" s="17" t="n">
        <v>8</v>
      </c>
      <c r="B14" s="10">
        <f>$B$3</f>
        <v/>
      </c>
      <c r="C14" s="8" t="n">
        <v>190</v>
      </c>
      <c r="D14" s="10">
        <f>B14+C14</f>
        <v/>
      </c>
      <c r="E14" s="10">
        <f>B14/A14</f>
        <v/>
      </c>
      <c r="F14" s="10">
        <f>C14/A14</f>
        <v/>
      </c>
      <c r="G14" s="10">
        <f>D14/A14</f>
        <v/>
      </c>
      <c r="H14" s="10">
        <f>D14-D13</f>
        <v/>
      </c>
    </row>
    <row r="15">
      <c r="A15" s="17" t="n">
        <v>9</v>
      </c>
      <c r="B15" s="10">
        <f>$B$3</f>
        <v/>
      </c>
      <c r="C15" s="8" t="n">
        <v>260</v>
      </c>
      <c r="D15" s="10">
        <f>B15+C15</f>
        <v/>
      </c>
      <c r="E15" s="10">
        <f>B15/A15</f>
        <v/>
      </c>
      <c r="F15" s="10">
        <f>C15/A15</f>
        <v/>
      </c>
      <c r="G15" s="10">
        <f>D15/A15</f>
        <v/>
      </c>
      <c r="H15" s="10">
        <f>D15-D14</f>
        <v/>
      </c>
    </row>
    <row r="17">
      <c r="A17" s="18" t="inlineStr">
        <is>
          <t>q que minimiza CMe →</t>
        </is>
      </c>
      <c r="C17" s="19">
        <f>INDEX(A7:A15,MATCH(MIN(G7:G15),G7:G15,0))</f>
        <v/>
      </c>
      <c r="D17" s="20" t="inlineStr">
        <is>
          <t>CMe mínimo →</t>
        </is>
      </c>
      <c r="E17" s="21">
        <f>MIN(G7:G15)</f>
        <v/>
      </c>
    </row>
    <row r="19">
      <c r="A19" s="15" t="inlineStr">
        <is>
          <t>El costo medio se MINIMIZA en el q donde la curva de CMg corta al CMe desde abajo (CMg = CMe en el mínimo del CMe). Ese es el punto que tenés que identificar y explicar en el parcial.</t>
        </is>
      </c>
    </row>
    <row r="20">
      <c r="A20" s="16" t="inlineStr">
        <is>
          <t>CT:  =B6+C6   ·   CFMe:  =B6/A6   ·   CVMe:  =C6/A6   ·   CMe:  =D6/A6   ·   CMg:  =D6-D5</t>
        </is>
      </c>
    </row>
  </sheetData>
  <mergeCells count="2">
    <mergeCell ref="A19:H19"/>
    <mergeCell ref="A17:B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6" customWidth="1" min="3" max="3"/>
  </cols>
  <sheetData>
    <row r="1">
      <c r="A1" s="5" t="inlineStr">
        <is>
          <t>Costo contable vs. de oportunidad vs. económico  ·  Excedente del productor</t>
        </is>
      </c>
    </row>
    <row r="2">
      <c r="A2" s="6" t="inlineStr">
        <is>
          <t>Amarillo = datos. Verde = fórmulas. Beneficio contable y económico salen solos.</t>
        </is>
      </c>
    </row>
    <row r="4">
      <c r="A4" s="7" t="inlineStr">
        <is>
          <t>Concepto</t>
        </is>
      </c>
      <c r="B4" s="7" t="inlineStr">
        <is>
          <t>Monto ($)</t>
        </is>
      </c>
      <c r="C4" s="7" t="inlineStr">
        <is>
          <t>Qué es</t>
        </is>
      </c>
    </row>
    <row r="5">
      <c r="A5" s="22" t="inlineStr">
        <is>
          <t>Ingreso total por ventas</t>
        </is>
      </c>
      <c r="B5" s="23" t="n">
        <v>200000</v>
      </c>
      <c r="C5" s="22" t="inlineStr">
        <is>
          <t>Lo que entra por vender (dato).</t>
        </is>
      </c>
    </row>
    <row r="6">
      <c r="A6" s="22" t="inlineStr">
        <is>
          <t>Costos explícitos (contables)</t>
        </is>
      </c>
      <c r="B6" s="23" t="n">
        <v>120000</v>
      </c>
      <c r="C6" s="22" t="inlineStr">
        <is>
          <t>Lo que SÍ pagás: insumos, sueldos, alquiler (dato).</t>
        </is>
      </c>
    </row>
    <row r="7">
      <c r="A7" s="22" t="inlineStr">
        <is>
          <t>Costos implícitos (de oportunidad)</t>
        </is>
      </c>
      <c r="B7" s="23" t="n">
        <v>50000</v>
      </c>
      <c r="C7" s="22" t="inlineStr">
        <is>
          <t>Lo que resignás: tu sueldo en otro empleo, interés del capital propio (dato).</t>
        </is>
      </c>
    </row>
    <row r="8">
      <c r="A8" s="22" t="inlineStr">
        <is>
          <t>Costo económico = explícito + implícito</t>
        </is>
      </c>
      <c r="B8" s="24">
        <f>B6+B7</f>
        <v/>
      </c>
      <c r="C8" s="22" t="inlineStr">
        <is>
          <t>Suma de los dos costos.</t>
        </is>
      </c>
    </row>
    <row r="9">
      <c r="A9" s="22" t="inlineStr">
        <is>
          <t>Beneficio CONTABLE = Ingreso − explícitos</t>
        </is>
      </c>
      <c r="B9" s="24">
        <f>B5-B6</f>
        <v/>
      </c>
      <c r="C9" s="22" t="inlineStr">
        <is>
          <t>El que ve el contador.</t>
        </is>
      </c>
    </row>
    <row r="10">
      <c r="A10" s="22" t="inlineStr">
        <is>
          <t>Beneficio ECONÓMICO = Ingreso − económico</t>
        </is>
      </c>
      <c r="B10" s="24">
        <f>B5-B8</f>
        <v/>
      </c>
      <c r="C10" s="22" t="inlineStr">
        <is>
          <t>El que importa para decidir si conviene seguir. Si es &gt;0, gana más que en la mejor alternativa.</t>
        </is>
      </c>
    </row>
    <row r="13">
      <c r="A13" s="25" t="inlineStr">
        <is>
          <t>EXCEDENTE DEL PRODUCTOR</t>
        </is>
      </c>
    </row>
    <row r="14">
      <c r="A14" s="7" t="inlineStr">
        <is>
          <t>Concepto</t>
        </is>
      </c>
      <c r="B14" s="7" t="inlineStr">
        <is>
          <t>Monto ($)</t>
        </is>
      </c>
      <c r="C14" s="7" t="inlineStr">
        <is>
          <t>Qué es</t>
        </is>
      </c>
    </row>
    <row r="15">
      <c r="A15" s="22" t="inlineStr">
        <is>
          <t>Precio de mercado</t>
        </is>
      </c>
      <c r="B15" s="8" t="n">
        <v>80</v>
      </c>
      <c r="C15" s="22" t="inlineStr">
        <is>
          <t>Lo que efectivamente te pagan por unidad (dato).</t>
        </is>
      </c>
    </row>
    <row r="16">
      <c r="A16" s="22" t="inlineStr">
        <is>
          <t>Costo mínimo aceptable</t>
        </is>
      </c>
      <c r="B16" s="8" t="n">
        <v>50</v>
      </c>
      <c r="C16" s="22" t="inlineStr">
        <is>
          <t>El mínimo al que estabas dispuesto a vender (dato).</t>
        </is>
      </c>
    </row>
    <row r="17">
      <c r="A17" s="22" t="inlineStr">
        <is>
          <t>Excedente del productor (por unidad) = Precio − Costo mínimo</t>
        </is>
      </c>
      <c r="B17" s="26">
        <f>B15-B16</f>
        <v/>
      </c>
      <c r="C17" s="22" t="inlineStr">
        <is>
          <t>Tu 'ganancia' por vender más caro de lo mínimo que aceptabas.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5" t="inlineStr">
        <is>
          <t>Ejercicios para resolver vos (completá las celdas verdes con tus fórmulas)</t>
        </is>
      </c>
    </row>
    <row r="2">
      <c r="A2" s="6" t="inlineStr">
        <is>
          <t>Las soluciones están en la página web. Acá practicás escribiendo las fórmulas vos mismo.</t>
        </is>
      </c>
    </row>
    <row r="4">
      <c r="A4" s="27" t="inlineStr">
        <is>
          <t>EJ.1 — Completá IT, PMg y PMe. Escribí las fórmulas (=...) vos.</t>
        </is>
      </c>
    </row>
    <row r="5">
      <c r="A5" s="7" t="inlineStr">
        <is>
          <t>L</t>
        </is>
      </c>
      <c r="B5" s="7" t="inlineStr">
        <is>
          <t>PT</t>
        </is>
      </c>
      <c r="C5" s="7" t="inlineStr">
        <is>
          <t>PMg</t>
        </is>
      </c>
      <c r="D5" s="7" t="inlineStr">
        <is>
          <t>PMe</t>
        </is>
      </c>
    </row>
    <row r="6">
      <c r="A6" s="17" t="n">
        <v>0</v>
      </c>
      <c r="B6" s="9" t="n">
        <v>0</v>
      </c>
      <c r="C6" s="10" t="n"/>
      <c r="D6" s="10" t="n"/>
    </row>
    <row r="7">
      <c r="A7" s="17" t="n">
        <v>1</v>
      </c>
      <c r="B7" s="9" t="n">
        <v>12</v>
      </c>
      <c r="C7" s="10" t="n"/>
      <c r="D7" s="10" t="n"/>
    </row>
    <row r="8">
      <c r="A8" s="17" t="n">
        <v>2</v>
      </c>
      <c r="B8" s="9" t="n">
        <v>28</v>
      </c>
      <c r="C8" s="10" t="n"/>
      <c r="D8" s="10" t="n"/>
    </row>
    <row r="9">
      <c r="A9" s="17" t="n">
        <v>3</v>
      </c>
      <c r="B9" s="9" t="n">
        <v>40</v>
      </c>
      <c r="C9" s="10" t="n"/>
      <c r="D9" s="10" t="n"/>
    </row>
    <row r="10">
      <c r="A10" s="17" t="n">
        <v>4</v>
      </c>
      <c r="B10" s="9" t="n">
        <v>48</v>
      </c>
      <c r="C10" s="10" t="n"/>
      <c r="D10" s="10" t="n"/>
    </row>
    <row r="11">
      <c r="A11" s="17" t="n">
        <v>5</v>
      </c>
      <c r="B11" s="9" t="n">
        <v>52</v>
      </c>
      <c r="C11" s="10" t="n"/>
      <c r="D11" s="10" t="n"/>
    </row>
    <row r="13">
      <c r="A13" s="27" t="inlineStr">
        <is>
          <t>EJ.2 — Costos. CF=40. Completá CT, CFMe, CVMe, CMe, CMg y decí en qué q se minimiza el CMe.</t>
        </is>
      </c>
    </row>
    <row r="14">
      <c r="A14" s="7" t="inlineStr">
        <is>
          <t>q</t>
        </is>
      </c>
      <c r="B14" s="7" t="inlineStr">
        <is>
          <t>CF</t>
        </is>
      </c>
      <c r="C14" s="7" t="inlineStr">
        <is>
          <t>CV</t>
        </is>
      </c>
      <c r="D14" s="7" t="inlineStr">
        <is>
          <t>CT</t>
        </is>
      </c>
      <c r="E14" s="7" t="inlineStr">
        <is>
          <t>CFMe</t>
        </is>
      </c>
      <c r="F14" s="7" t="inlineStr">
        <is>
          <t>CVMe</t>
        </is>
      </c>
      <c r="G14" s="7" t="inlineStr">
        <is>
          <t>CMe</t>
        </is>
      </c>
      <c r="H14" s="7" t="inlineStr">
        <is>
          <t>CMg</t>
        </is>
      </c>
    </row>
    <row r="15">
      <c r="A15" s="17" t="n">
        <v>0</v>
      </c>
      <c r="B15" s="9" t="n">
        <v>40</v>
      </c>
      <c r="C15" s="9" t="n">
        <v>0</v>
      </c>
      <c r="D15" s="10" t="n"/>
      <c r="E15" s="10" t="n"/>
      <c r="F15" s="10" t="n"/>
      <c r="G15" s="10" t="n"/>
      <c r="H15" s="10" t="n"/>
    </row>
    <row r="16">
      <c r="A16" s="17" t="n">
        <v>1</v>
      </c>
      <c r="B16" s="9" t="n">
        <v>40</v>
      </c>
      <c r="C16" s="9" t="n">
        <v>25</v>
      </c>
      <c r="D16" s="10" t="n"/>
      <c r="E16" s="10" t="n"/>
      <c r="F16" s="10" t="n"/>
      <c r="G16" s="10" t="n"/>
      <c r="H16" s="10" t="n"/>
    </row>
    <row r="17">
      <c r="A17" s="17" t="n">
        <v>2</v>
      </c>
      <c r="B17" s="9" t="n">
        <v>40</v>
      </c>
      <c r="C17" s="9" t="n">
        <v>45</v>
      </c>
      <c r="D17" s="10" t="n"/>
      <c r="E17" s="10" t="n"/>
      <c r="F17" s="10" t="n"/>
      <c r="G17" s="10" t="n"/>
      <c r="H17" s="10" t="n"/>
    </row>
    <row r="18">
      <c r="A18" s="17" t="n">
        <v>3</v>
      </c>
      <c r="B18" s="9" t="n">
        <v>40</v>
      </c>
      <c r="C18" s="9" t="n">
        <v>60</v>
      </c>
      <c r="D18" s="10" t="n"/>
      <c r="E18" s="10" t="n"/>
      <c r="F18" s="10" t="n"/>
      <c r="G18" s="10" t="n"/>
      <c r="H18" s="10" t="n"/>
    </row>
    <row r="19">
      <c r="A19" s="17" t="n">
        <v>4</v>
      </c>
      <c r="B19" s="9" t="n">
        <v>40</v>
      </c>
      <c r="C19" s="9" t="n">
        <v>80</v>
      </c>
      <c r="D19" s="10" t="n"/>
      <c r="E19" s="10" t="n"/>
      <c r="F19" s="10" t="n"/>
      <c r="G19" s="10" t="n"/>
      <c r="H19" s="10" t="n"/>
    </row>
    <row r="20">
      <c r="A20" s="17" t="n">
        <v>5</v>
      </c>
      <c r="B20" s="9" t="n">
        <v>40</v>
      </c>
      <c r="C20" s="9" t="n">
        <v>110</v>
      </c>
      <c r="D20" s="10" t="n"/>
      <c r="E20" s="10" t="n"/>
      <c r="F20" s="10" t="n"/>
      <c r="G20" s="10" t="n"/>
      <c r="H20" s="10" t="n"/>
    </row>
    <row r="21">
      <c r="A21" s="17" t="n">
        <v>6</v>
      </c>
      <c r="B21" s="9" t="n">
        <v>40</v>
      </c>
      <c r="C21" s="9" t="n">
        <v>150</v>
      </c>
      <c r="D21" s="10" t="n"/>
      <c r="E21" s="10" t="n"/>
      <c r="F21" s="10" t="n"/>
      <c r="G21" s="10" t="n"/>
      <c r="H21" s="10" t="n"/>
    </row>
  </sheetData>
  <mergeCells count="1">
    <mergeCell ref="A13:H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2026-06-26T03:50:07Z</dcterms:created>
  <dcterms:modified xmlns:dcterms="http://purl.org/dc/terms/" xmlns:xsi="http://www.w3.org/2001/XMLSchema-instance" xsi:type="dcterms:W3CDTF">2026-06-26T03:50:07Z</dcterms:modified>
</cp:coreProperties>
</file>